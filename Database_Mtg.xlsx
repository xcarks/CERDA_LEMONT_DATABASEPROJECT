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98CF889A-7C2D-44A3-9BBF-C2D3A182C9E0}" xr6:coauthVersionLast="47" xr6:coauthVersionMax="47" xr10:uidLastSave="{00000000-0000-0000-0000-000000000000}"/>
  <bookViews>
    <workbookView xWindow="240" yWindow="105" windowWidth="14805" windowHeight="8010" firstSheet="6" xr2:uid="{00000000-000D-0000-FFFF-FFFF00000000}"/>
  </bookViews>
  <sheets>
    <sheet name="Cards" sheetId="1" r:id="rId1"/>
    <sheet name="Rarity" sheetId="3" r:id="rId2"/>
    <sheet name="Colors" sheetId="7" r:id="rId3"/>
    <sheet name="Format Legality" sheetId="4" r:id="rId4"/>
    <sheet name="Types" sheetId="5" r:id="rId5"/>
    <sheet name="Subtypes" sheetId="6" r:id="rId6"/>
    <sheet name="Artists" sheetId="8" r:id="rId7"/>
    <sheet name="Set" sheetId="2" r:id="rId8"/>
    <sheet name="Sheet1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8" l="1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3" i="8"/>
</calcChain>
</file>

<file path=xl/sharedStrings.xml><?xml version="1.0" encoding="utf-8"?>
<sst xmlns="http://schemas.openxmlformats.org/spreadsheetml/2006/main" count="217" uniqueCount="128">
  <si>
    <t>Card Id</t>
  </si>
  <si>
    <t>Name</t>
  </si>
  <si>
    <t>Price</t>
  </si>
  <si>
    <t>Cmc</t>
  </si>
  <si>
    <t>Legendary</t>
  </si>
  <si>
    <t>Token</t>
  </si>
  <si>
    <t>Code</t>
  </si>
  <si>
    <t>Artist Id</t>
  </si>
  <si>
    <t>Ashling, the Limitless</t>
  </si>
  <si>
    <t>ECC</t>
  </si>
  <si>
    <t>Lamentation</t>
  </si>
  <si>
    <t>Swords to Plowshare</t>
  </si>
  <si>
    <t>EOC</t>
  </si>
  <si>
    <t>BLC</t>
  </si>
  <si>
    <t>Elemental</t>
  </si>
  <si>
    <t>Surge Conductor</t>
  </si>
  <si>
    <t>Calamity of the Titans</t>
  </si>
  <si>
    <t>CMM</t>
  </si>
  <si>
    <t>Evendo Brushrazer</t>
  </si>
  <si>
    <t>Exploration Broodship</t>
  </si>
  <si>
    <t>Grave Venerations</t>
  </si>
  <si>
    <t>Sinister Gnarlbark</t>
  </si>
  <si>
    <t>Champion of the Clachan</t>
  </si>
  <si>
    <t>ECL</t>
  </si>
  <si>
    <t>Goldmeadow Nomad</t>
  </si>
  <si>
    <t>Wanderwine Farewell</t>
  </si>
  <si>
    <t>Maralen, Fae Ascendant</t>
  </si>
  <si>
    <t>Morcant's Loyalist</t>
  </si>
  <si>
    <t>Raiding Schemes</t>
  </si>
  <si>
    <t>Yarok, the Desecrated</t>
  </si>
  <si>
    <t>Haliya, Ascendant cadet</t>
  </si>
  <si>
    <t>EOE</t>
  </si>
  <si>
    <t>Bygone Colossus</t>
  </si>
  <si>
    <t>Is Rarity</t>
  </si>
  <si>
    <t>Mythical</t>
  </si>
  <si>
    <t>Rare</t>
  </si>
  <si>
    <t>Uncommon</t>
  </si>
  <si>
    <t>Common</t>
  </si>
  <si>
    <t>Color Name</t>
  </si>
  <si>
    <t>Red</t>
  </si>
  <si>
    <t>Black</t>
  </si>
  <si>
    <t>White</t>
  </si>
  <si>
    <t>Colorless</t>
  </si>
  <si>
    <t>Green</t>
  </si>
  <si>
    <t>Blue</t>
  </si>
  <si>
    <t>Standard</t>
  </si>
  <si>
    <t>Pioneer</t>
  </si>
  <si>
    <t>Modern</t>
  </si>
  <si>
    <t>Legacy</t>
  </si>
  <si>
    <t>Vintage</t>
  </si>
  <si>
    <t>Commander</t>
  </si>
  <si>
    <t>Historic</t>
  </si>
  <si>
    <t>Pauper</t>
  </si>
  <si>
    <t>Type Name</t>
  </si>
  <si>
    <t>Creature</t>
  </si>
  <si>
    <t>Instant</t>
  </si>
  <si>
    <t>Artifact</t>
  </si>
  <si>
    <t>Sorcery</t>
  </si>
  <si>
    <t>Enchantment</t>
  </si>
  <si>
    <t>Kindred</t>
  </si>
  <si>
    <t>Subtype Name</t>
  </si>
  <si>
    <t>Sorcerer</t>
  </si>
  <si>
    <t>Incarnation</t>
  </si>
  <si>
    <t>Robot</t>
  </si>
  <si>
    <t>Insect</t>
  </si>
  <si>
    <t>Warrior</t>
  </si>
  <si>
    <t>Spacecraft</t>
  </si>
  <si>
    <t>Treefolk</t>
  </si>
  <si>
    <t>Warlock</t>
  </si>
  <si>
    <t>Kithkin</t>
  </si>
  <si>
    <t>Knight</t>
  </si>
  <si>
    <t>Scout</t>
  </si>
  <si>
    <t>Merfolk</t>
  </si>
  <si>
    <t>Elf</t>
  </si>
  <si>
    <t>Faerie</t>
  </si>
  <si>
    <t>Noble</t>
  </si>
  <si>
    <t>Horror</t>
  </si>
  <si>
    <t>Human</t>
  </si>
  <si>
    <t>Soldier</t>
  </si>
  <si>
    <t>Giant</t>
  </si>
  <si>
    <t>Surname</t>
  </si>
  <si>
    <t>Full Name</t>
  </si>
  <si>
    <t>Kai</t>
  </si>
  <si>
    <t>Carpenter</t>
  </si>
  <si>
    <t>Lars</t>
  </si>
  <si>
    <t>Grant-West</t>
  </si>
  <si>
    <t>Nadia</t>
  </si>
  <si>
    <t>Hurianova</t>
  </si>
  <si>
    <t>Liiga</t>
  </si>
  <si>
    <t>Smilshkalne</t>
  </si>
  <si>
    <t>Brandon</t>
  </si>
  <si>
    <t>Kitkouski</t>
  </si>
  <si>
    <t>Alexandr</t>
  </si>
  <si>
    <t>Leskinen</t>
  </si>
  <si>
    <t xml:space="preserve">Svetlin </t>
  </si>
  <si>
    <t>Velinov</t>
  </si>
  <si>
    <t>Igor</t>
  </si>
  <si>
    <t>Grechanyi</t>
  </si>
  <si>
    <t>Borja</t>
  </si>
  <si>
    <t>Pindado</t>
  </si>
  <si>
    <t>Omar</t>
  </si>
  <si>
    <t>Rayyan</t>
  </si>
  <si>
    <t>Oivier</t>
  </si>
  <si>
    <t>Bernard</t>
  </si>
  <si>
    <t>Edgar</t>
  </si>
  <si>
    <t>Sanchez Hidalgo</t>
  </si>
  <si>
    <t>Paolo</t>
  </si>
  <si>
    <t>Parente</t>
  </si>
  <si>
    <t>Aldo</t>
  </si>
  <si>
    <t>Dominguez</t>
  </si>
  <si>
    <t>Steve</t>
  </si>
  <si>
    <t>Prescott</t>
  </si>
  <si>
    <t>Evyn</t>
  </si>
  <si>
    <t>Fong</t>
  </si>
  <si>
    <t>Justin</t>
  </si>
  <si>
    <t>Gerard</t>
  </si>
  <si>
    <t>Daarken</t>
  </si>
  <si>
    <t>Justyna</t>
  </si>
  <si>
    <t>Dura</t>
  </si>
  <si>
    <t xml:space="preserve">Maxime </t>
  </si>
  <si>
    <t>Minard</t>
  </si>
  <si>
    <t>Date</t>
  </si>
  <si>
    <t>Lorwin Eclipsed</t>
  </si>
  <si>
    <t>Lorwin Eclipsed Commander</t>
  </si>
  <si>
    <t>Edge of Eternities</t>
  </si>
  <si>
    <t>Edge of Eternities Commander</t>
  </si>
  <si>
    <t>Bloomburrow Commander</t>
  </si>
  <si>
    <t>Commander 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</si>
</sst>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000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0" fillId="0" borderId="0" xfId="0" applyNumberFormat="1"/>
    <xf numFmtId="0" fontId="0" fillId="2" borderId="1" xfId="0" applyFill="1" applyBorder="1"/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  <xf numFmtId="165" fontId="0" fillId="2" borderId="1" xfId="0" applyNumberFormat="1" applyFill="1" applyBorder="1"/>
    <xf numFmtId="165" fontId="0" fillId="2" borderId="2" xfId="0" applyNumberFormat="1" applyFill="1" applyBorder="1"/>
    <xf numFmtId="165" fontId="0" fillId="0" borderId="2" xfId="0" applyNumberFormat="1" applyBorder="1"/>
    <xf numFmtId="0" fontId="0" fillId="0" borderId="3" xfId="0" applyBorder="1"/>
    <xf numFmtId="164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2"/>
  <sheetViews>
    <sheetView tabSelected="1" workbookViewId="0">
      <selection activeCell="A8" sqref="A8"/>
    </sheetView>
  </sheetViews>
  <sheetFormatPr defaultColWidth="19.85546875" defaultRowHeight="15"/>
  <cols>
    <col min="1" max="1" width="16.5703125" customWidth="1"/>
    <col min="2" max="2" width="7.140625" customWidth="1"/>
    <col min="3" max="3" width="22.85546875" customWidth="1"/>
    <col min="8" max="8" width="19.85546875" style="1"/>
    <col min="9" max="9" width="23" style="1" bestFit="1" customWidth="1"/>
  </cols>
  <sheetData>
    <row r="2" spans="2:9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7" t="s">
        <v>6</v>
      </c>
      <c r="I2" s="6" t="s">
        <v>7</v>
      </c>
    </row>
    <row r="3" spans="2:9">
      <c r="B3" s="4">
        <v>1</v>
      </c>
      <c r="C3" s="3" t="s">
        <v>8</v>
      </c>
      <c r="D3" s="5">
        <v>0.4</v>
      </c>
      <c r="E3" s="3">
        <v>3</v>
      </c>
      <c r="F3" s="3">
        <v>1</v>
      </c>
      <c r="G3" s="3">
        <v>0</v>
      </c>
      <c r="H3" s="8" t="s">
        <v>9</v>
      </c>
      <c r="I3" s="4">
        <v>1</v>
      </c>
    </row>
    <row r="4" spans="2:9">
      <c r="B4" s="4">
        <v>2</v>
      </c>
      <c r="C4" s="3" t="s">
        <v>10</v>
      </c>
      <c r="D4" s="5">
        <v>0.19</v>
      </c>
      <c r="E4" s="3">
        <v>6</v>
      </c>
      <c r="F4" s="3">
        <v>0</v>
      </c>
      <c r="G4" s="3">
        <v>0</v>
      </c>
      <c r="H4" s="8" t="s">
        <v>9</v>
      </c>
      <c r="I4" s="4">
        <v>2</v>
      </c>
    </row>
    <row r="5" spans="2:9">
      <c r="B5" s="4">
        <v>3</v>
      </c>
      <c r="C5" s="3" t="s">
        <v>11</v>
      </c>
      <c r="D5" s="5">
        <v>1.4</v>
      </c>
      <c r="E5" s="3">
        <v>1</v>
      </c>
      <c r="F5" s="3">
        <v>0</v>
      </c>
      <c r="G5" s="3">
        <v>0</v>
      </c>
      <c r="H5" s="8" t="s">
        <v>12</v>
      </c>
      <c r="I5" s="4">
        <v>3</v>
      </c>
    </row>
    <row r="6" spans="2:9">
      <c r="B6" s="4">
        <v>4</v>
      </c>
      <c r="C6" s="3" t="s">
        <v>11</v>
      </c>
      <c r="D6" s="5">
        <v>1.58</v>
      </c>
      <c r="E6" s="3">
        <v>1</v>
      </c>
      <c r="F6" s="3">
        <v>0</v>
      </c>
      <c r="G6" s="3">
        <v>0</v>
      </c>
      <c r="H6" s="8" t="s">
        <v>13</v>
      </c>
      <c r="I6" s="4">
        <v>4</v>
      </c>
    </row>
    <row r="7" spans="2:9">
      <c r="B7" s="4">
        <v>5</v>
      </c>
      <c r="C7" s="3" t="s">
        <v>14</v>
      </c>
      <c r="D7" s="5">
        <v>0.19</v>
      </c>
      <c r="E7" s="3">
        <v>0</v>
      </c>
      <c r="F7" s="3">
        <v>0</v>
      </c>
      <c r="G7" s="3">
        <v>1</v>
      </c>
      <c r="H7" s="8" t="s">
        <v>9</v>
      </c>
      <c r="I7" s="4">
        <v>5</v>
      </c>
    </row>
    <row r="8" spans="2:9">
      <c r="B8" s="4">
        <v>6</v>
      </c>
      <c r="C8" s="3" t="s">
        <v>15</v>
      </c>
      <c r="D8" s="10">
        <v>0.69</v>
      </c>
      <c r="E8" s="3">
        <v>3</v>
      </c>
      <c r="F8" s="3">
        <v>0</v>
      </c>
      <c r="G8" s="3">
        <v>0</v>
      </c>
      <c r="H8" s="8" t="s">
        <v>12</v>
      </c>
      <c r="I8" s="4">
        <v>6</v>
      </c>
    </row>
    <row r="9" spans="2:9">
      <c r="B9" s="4">
        <v>7</v>
      </c>
      <c r="C9" s="3" t="s">
        <v>16</v>
      </c>
      <c r="D9" s="5">
        <v>3.18</v>
      </c>
      <c r="E9" s="3">
        <v>6</v>
      </c>
      <c r="F9" s="3">
        <v>0</v>
      </c>
      <c r="G9" s="3">
        <v>0</v>
      </c>
      <c r="H9" s="8" t="s">
        <v>17</v>
      </c>
      <c r="I9" s="4">
        <v>7</v>
      </c>
    </row>
    <row r="10" spans="2:9">
      <c r="B10" s="4">
        <v>8</v>
      </c>
      <c r="C10" s="3" t="s">
        <v>18</v>
      </c>
      <c r="D10" s="5">
        <v>0.38</v>
      </c>
      <c r="E10" s="3">
        <v>3</v>
      </c>
      <c r="F10" s="3">
        <v>0</v>
      </c>
      <c r="G10" s="3">
        <v>0</v>
      </c>
      <c r="H10" s="8" t="s">
        <v>12</v>
      </c>
      <c r="I10" s="4">
        <v>8</v>
      </c>
    </row>
    <row r="11" spans="2:9">
      <c r="B11" s="4">
        <v>9</v>
      </c>
      <c r="C11" s="3" t="s">
        <v>19</v>
      </c>
      <c r="D11" s="5">
        <v>3.31</v>
      </c>
      <c r="E11" s="3">
        <v>1</v>
      </c>
      <c r="F11" s="3">
        <v>0</v>
      </c>
      <c r="G11" s="3">
        <v>0</v>
      </c>
      <c r="H11" s="8" t="s">
        <v>12</v>
      </c>
      <c r="I11" s="4">
        <v>9</v>
      </c>
    </row>
    <row r="12" spans="2:9">
      <c r="B12" s="4">
        <v>10</v>
      </c>
      <c r="C12" s="3" t="s">
        <v>20</v>
      </c>
      <c r="D12" s="5">
        <v>1.51</v>
      </c>
      <c r="E12" s="3">
        <v>4</v>
      </c>
      <c r="F12" s="3">
        <v>0</v>
      </c>
      <c r="G12" s="3">
        <v>0</v>
      </c>
      <c r="H12" s="8" t="s">
        <v>9</v>
      </c>
      <c r="I12" s="4">
        <v>10</v>
      </c>
    </row>
    <row r="13" spans="2:9">
      <c r="B13" s="4">
        <v>11</v>
      </c>
      <c r="C13" s="3" t="s">
        <v>21</v>
      </c>
      <c r="D13" s="5">
        <v>1.1200000000000001</v>
      </c>
      <c r="E13" s="3">
        <v>3</v>
      </c>
      <c r="F13" s="3">
        <v>0</v>
      </c>
      <c r="G13" s="3">
        <v>0</v>
      </c>
      <c r="H13" s="8" t="s">
        <v>9</v>
      </c>
      <c r="I13" s="4">
        <v>11</v>
      </c>
    </row>
    <row r="14" spans="2:9">
      <c r="B14" s="4">
        <v>12</v>
      </c>
      <c r="C14" s="3" t="s">
        <v>22</v>
      </c>
      <c r="D14" s="5">
        <v>0.08</v>
      </c>
      <c r="E14" s="3">
        <v>4</v>
      </c>
      <c r="F14" s="3">
        <v>0</v>
      </c>
      <c r="G14" s="3">
        <v>0</v>
      </c>
      <c r="H14" s="8" t="s">
        <v>23</v>
      </c>
      <c r="I14" s="4">
        <v>12</v>
      </c>
    </row>
    <row r="15" spans="2:9">
      <c r="B15" s="4">
        <v>13</v>
      </c>
      <c r="C15" s="3" t="s">
        <v>24</v>
      </c>
      <c r="D15" s="5">
        <v>0.03</v>
      </c>
      <c r="E15" s="3">
        <v>1</v>
      </c>
      <c r="F15" s="3">
        <v>0</v>
      </c>
      <c r="G15" s="3">
        <v>0</v>
      </c>
      <c r="H15" s="8" t="s">
        <v>23</v>
      </c>
      <c r="I15" s="4">
        <v>13</v>
      </c>
    </row>
    <row r="16" spans="2:9">
      <c r="B16" s="4">
        <v>14</v>
      </c>
      <c r="C16" s="3" t="s">
        <v>25</v>
      </c>
      <c r="D16" s="5">
        <v>7.0000000000000007E-2</v>
      </c>
      <c r="E16" s="3">
        <v>7</v>
      </c>
      <c r="F16" s="3">
        <v>0</v>
      </c>
      <c r="G16" s="3">
        <v>0</v>
      </c>
      <c r="H16" s="8" t="s">
        <v>23</v>
      </c>
      <c r="I16" s="4">
        <v>14</v>
      </c>
    </row>
    <row r="17" spans="2:9">
      <c r="B17" s="4">
        <v>15</v>
      </c>
      <c r="C17" s="3" t="s">
        <v>26</v>
      </c>
      <c r="D17" s="5">
        <v>0.26</v>
      </c>
      <c r="E17" s="3">
        <v>5</v>
      </c>
      <c r="F17" s="3">
        <v>1</v>
      </c>
      <c r="G17" s="3">
        <v>0</v>
      </c>
      <c r="H17" s="8" t="s">
        <v>23</v>
      </c>
      <c r="I17" s="4">
        <v>15</v>
      </c>
    </row>
    <row r="18" spans="2:9">
      <c r="B18" s="4">
        <v>16</v>
      </c>
      <c r="C18" s="3" t="s">
        <v>27</v>
      </c>
      <c r="D18" s="5">
        <v>0.22</v>
      </c>
      <c r="E18" s="3">
        <v>3</v>
      </c>
      <c r="F18" s="3">
        <v>0</v>
      </c>
      <c r="G18" s="3">
        <v>0</v>
      </c>
      <c r="H18" s="8" t="s">
        <v>23</v>
      </c>
      <c r="I18" s="4">
        <v>16</v>
      </c>
    </row>
    <row r="19" spans="2:9">
      <c r="B19" s="4">
        <v>17</v>
      </c>
      <c r="C19" s="3" t="s">
        <v>28</v>
      </c>
      <c r="D19" s="10">
        <v>0.06</v>
      </c>
      <c r="E19" s="3">
        <v>5</v>
      </c>
      <c r="F19" s="3">
        <v>0</v>
      </c>
      <c r="G19" s="3">
        <v>0</v>
      </c>
      <c r="H19" s="8" t="s">
        <v>23</v>
      </c>
      <c r="I19" s="4">
        <v>17</v>
      </c>
    </row>
    <row r="20" spans="2:9">
      <c r="B20" s="4">
        <v>18</v>
      </c>
      <c r="C20" s="3" t="s">
        <v>29</v>
      </c>
      <c r="D20" s="5">
        <v>0.33</v>
      </c>
      <c r="E20" s="3">
        <v>5</v>
      </c>
      <c r="F20" s="3">
        <v>1</v>
      </c>
      <c r="G20" s="3">
        <v>0</v>
      </c>
      <c r="H20" s="8" t="s">
        <v>9</v>
      </c>
      <c r="I20" s="4">
        <v>18</v>
      </c>
    </row>
    <row r="21" spans="2:9">
      <c r="B21" s="4">
        <v>19</v>
      </c>
      <c r="C21" s="3" t="s">
        <v>30</v>
      </c>
      <c r="D21" s="10">
        <v>0.09</v>
      </c>
      <c r="E21" s="3">
        <v>5</v>
      </c>
      <c r="F21" s="3">
        <v>1</v>
      </c>
      <c r="G21" s="3">
        <v>0</v>
      </c>
      <c r="H21" s="8" t="s">
        <v>31</v>
      </c>
      <c r="I21" s="4">
        <v>19</v>
      </c>
    </row>
    <row r="22" spans="2:9">
      <c r="B22" s="4">
        <v>20</v>
      </c>
      <c r="C22" s="3" t="s">
        <v>32</v>
      </c>
      <c r="D22" s="5">
        <v>0.12</v>
      </c>
      <c r="E22" s="3">
        <v>9</v>
      </c>
      <c r="F22" s="3">
        <v>0</v>
      </c>
      <c r="G22" s="3">
        <v>0</v>
      </c>
      <c r="H22" s="8" t="s">
        <v>31</v>
      </c>
      <c r="I22" s="4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A697-2CB9-462F-90D0-B35C9D0B48AF}">
  <dimension ref="B2:C22"/>
  <sheetViews>
    <sheetView workbookViewId="0">
      <selection activeCell="C23" sqref="C23"/>
    </sheetView>
  </sheetViews>
  <sheetFormatPr defaultRowHeight="15"/>
  <cols>
    <col min="3" max="3" width="11.28515625" customWidth="1"/>
  </cols>
  <sheetData>
    <row r="2" spans="2:3">
      <c r="B2" s="2" t="s">
        <v>0</v>
      </c>
      <c r="C2" s="2" t="s">
        <v>33</v>
      </c>
    </row>
    <row r="3" spans="2:3">
      <c r="B3" s="4">
        <v>1</v>
      </c>
      <c r="C3" s="3" t="s">
        <v>34</v>
      </c>
    </row>
    <row r="4" spans="2:3">
      <c r="B4" s="4">
        <v>2</v>
      </c>
      <c r="C4" s="3" t="s">
        <v>35</v>
      </c>
    </row>
    <row r="5" spans="2:3">
      <c r="B5" s="4">
        <v>3</v>
      </c>
      <c r="C5" s="3" t="s">
        <v>36</v>
      </c>
    </row>
    <row r="6" spans="2:3">
      <c r="B6" s="4">
        <v>4</v>
      </c>
      <c r="C6" s="3" t="s">
        <v>36</v>
      </c>
    </row>
    <row r="7" spans="2:3">
      <c r="B7" s="4">
        <v>5</v>
      </c>
      <c r="C7" s="3" t="s">
        <v>37</v>
      </c>
    </row>
    <row r="8" spans="2:3">
      <c r="B8" s="4">
        <v>6</v>
      </c>
      <c r="C8" s="3" t="s">
        <v>35</v>
      </c>
    </row>
    <row r="9" spans="2:3">
      <c r="B9" s="4">
        <v>7</v>
      </c>
      <c r="C9" s="4" t="s">
        <v>35</v>
      </c>
    </row>
    <row r="10" spans="2:3">
      <c r="B10" s="4">
        <v>8</v>
      </c>
      <c r="C10" s="3" t="s">
        <v>35</v>
      </c>
    </row>
    <row r="11" spans="2:3">
      <c r="B11" s="4">
        <v>9</v>
      </c>
      <c r="C11" s="3" t="s">
        <v>35</v>
      </c>
    </row>
    <row r="12" spans="2:3">
      <c r="B12" s="4">
        <v>10</v>
      </c>
      <c r="C12" s="3" t="s">
        <v>35</v>
      </c>
    </row>
    <row r="13" spans="2:3">
      <c r="B13" s="4">
        <v>11</v>
      </c>
      <c r="C13" s="3" t="s">
        <v>35</v>
      </c>
    </row>
    <row r="14" spans="2:3">
      <c r="B14" s="4">
        <v>12</v>
      </c>
      <c r="C14" s="3" t="s">
        <v>35</v>
      </c>
    </row>
    <row r="15" spans="2:3">
      <c r="B15" s="4">
        <v>13</v>
      </c>
      <c r="C15" s="3" t="s">
        <v>37</v>
      </c>
    </row>
    <row r="16" spans="2:3">
      <c r="B16" s="4">
        <v>14</v>
      </c>
      <c r="C16" s="3" t="s">
        <v>36</v>
      </c>
    </row>
    <row r="17" spans="2:3">
      <c r="B17" s="4">
        <v>15</v>
      </c>
      <c r="C17" s="3" t="s">
        <v>35</v>
      </c>
    </row>
    <row r="18" spans="2:3">
      <c r="B18" s="4">
        <v>16</v>
      </c>
      <c r="C18" s="3" t="s">
        <v>36</v>
      </c>
    </row>
    <row r="19" spans="2:3">
      <c r="B19" s="4">
        <v>17</v>
      </c>
      <c r="C19" s="3" t="s">
        <v>35</v>
      </c>
    </row>
    <row r="20" spans="2:3">
      <c r="B20" s="4">
        <v>18</v>
      </c>
      <c r="C20" s="3" t="s">
        <v>34</v>
      </c>
    </row>
    <row r="21" spans="2:3">
      <c r="B21" s="4">
        <v>19</v>
      </c>
      <c r="C21" s="3" t="s">
        <v>36</v>
      </c>
    </row>
    <row r="22" spans="2:3">
      <c r="B22" s="4">
        <v>20</v>
      </c>
      <c r="C22" s="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2E4B5-5C62-40A2-94CA-4CA2DE51B23B}">
  <dimension ref="B2:C26"/>
  <sheetViews>
    <sheetView workbookViewId="0">
      <selection activeCell="F14" sqref="F14"/>
    </sheetView>
  </sheetViews>
  <sheetFormatPr defaultRowHeight="15"/>
  <cols>
    <col min="2" max="2" width="9.140625" style="1"/>
  </cols>
  <sheetData>
    <row r="2" spans="2:3">
      <c r="B2" s="6" t="s">
        <v>0</v>
      </c>
      <c r="C2" s="2" t="s">
        <v>38</v>
      </c>
    </row>
    <row r="3" spans="2:3">
      <c r="B3" s="4">
        <v>1</v>
      </c>
      <c r="C3" s="3" t="s">
        <v>39</v>
      </c>
    </row>
    <row r="4" spans="2:3">
      <c r="B4" s="4">
        <v>2</v>
      </c>
      <c r="C4" s="3" t="s">
        <v>40</v>
      </c>
    </row>
    <row r="5" spans="2:3">
      <c r="B5" s="4">
        <v>3</v>
      </c>
      <c r="C5" s="3" t="s">
        <v>41</v>
      </c>
    </row>
    <row r="6" spans="2:3">
      <c r="B6" s="4">
        <v>4</v>
      </c>
      <c r="C6" s="3" t="s">
        <v>41</v>
      </c>
    </row>
    <row r="7" spans="2:3">
      <c r="B7" s="4">
        <v>7</v>
      </c>
      <c r="C7" s="3" t="s">
        <v>42</v>
      </c>
    </row>
    <row r="8" spans="2:3">
      <c r="B8" s="4">
        <v>8</v>
      </c>
      <c r="C8" s="3" t="s">
        <v>39</v>
      </c>
    </row>
    <row r="9" spans="2:3">
      <c r="B9" s="4">
        <v>9</v>
      </c>
      <c r="C9" s="3" t="s">
        <v>43</v>
      </c>
    </row>
    <row r="10" spans="2:3">
      <c r="B10" s="4">
        <v>10</v>
      </c>
      <c r="C10" s="3" t="s">
        <v>40</v>
      </c>
    </row>
    <row r="11" spans="2:3">
      <c r="B11" s="4">
        <v>11</v>
      </c>
      <c r="C11" s="3" t="s">
        <v>40</v>
      </c>
    </row>
    <row r="12" spans="2:3">
      <c r="B12" s="4">
        <v>12</v>
      </c>
      <c r="C12" s="3" t="s">
        <v>41</v>
      </c>
    </row>
    <row r="13" spans="2:3">
      <c r="B13" s="4">
        <v>13</v>
      </c>
      <c r="C13" s="3" t="s">
        <v>41</v>
      </c>
    </row>
    <row r="14" spans="2:3">
      <c r="B14" s="4">
        <v>14</v>
      </c>
      <c r="C14" s="3" t="s">
        <v>44</v>
      </c>
    </row>
    <row r="15" spans="2:3">
      <c r="B15" s="4">
        <v>15</v>
      </c>
      <c r="C15" s="3" t="s">
        <v>40</v>
      </c>
    </row>
    <row r="16" spans="2:3">
      <c r="B16" s="4">
        <v>15</v>
      </c>
      <c r="C16" s="3" t="s">
        <v>43</v>
      </c>
    </row>
    <row r="17" spans="2:3">
      <c r="B17" s="4">
        <v>15</v>
      </c>
      <c r="C17" s="3" t="s">
        <v>44</v>
      </c>
    </row>
    <row r="18" spans="2:3">
      <c r="B18" s="4">
        <v>16</v>
      </c>
      <c r="C18" s="3" t="s">
        <v>40</v>
      </c>
    </row>
    <row r="19" spans="2:3">
      <c r="B19" s="4">
        <v>16</v>
      </c>
      <c r="C19" s="3" t="s">
        <v>43</v>
      </c>
    </row>
    <row r="20" spans="2:3">
      <c r="B20" s="4">
        <v>17</v>
      </c>
      <c r="C20" s="3" t="s">
        <v>39</v>
      </c>
    </row>
    <row r="21" spans="2:3">
      <c r="B21" s="4">
        <v>17</v>
      </c>
      <c r="C21" s="3" t="s">
        <v>43</v>
      </c>
    </row>
    <row r="22" spans="2:3">
      <c r="B22" s="4">
        <v>18</v>
      </c>
      <c r="C22" s="3" t="s">
        <v>40</v>
      </c>
    </row>
    <row r="23" spans="2:3">
      <c r="B23" s="4">
        <v>18</v>
      </c>
      <c r="C23" s="3" t="s">
        <v>43</v>
      </c>
    </row>
    <row r="24" spans="2:3">
      <c r="B24" s="4">
        <v>18</v>
      </c>
      <c r="C24" s="3" t="s">
        <v>44</v>
      </c>
    </row>
    <row r="25" spans="2:3">
      <c r="B25" s="4">
        <v>19</v>
      </c>
      <c r="C25" s="3" t="s">
        <v>43</v>
      </c>
    </row>
    <row r="26" spans="2:3">
      <c r="B26" s="4">
        <v>19</v>
      </c>
      <c r="C26" s="3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1C1D-2B49-40BB-93D2-BB4E36D7C4EC}">
  <dimension ref="B2:J22"/>
  <sheetViews>
    <sheetView workbookViewId="0">
      <selection activeCell="G27" sqref="G27"/>
    </sheetView>
  </sheetViews>
  <sheetFormatPr defaultColWidth="12.140625" defaultRowHeight="15"/>
  <sheetData>
    <row r="2" spans="2:10">
      <c r="B2" s="2" t="s">
        <v>0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</row>
    <row r="3" spans="2:10">
      <c r="B3" s="4">
        <v>1</v>
      </c>
      <c r="C3" s="3">
        <v>1</v>
      </c>
      <c r="D3" s="3">
        <v>1</v>
      </c>
      <c r="E3" s="3">
        <v>1</v>
      </c>
      <c r="F3" s="3">
        <v>0</v>
      </c>
      <c r="G3" s="3">
        <v>0</v>
      </c>
      <c r="H3" s="3">
        <v>0</v>
      </c>
      <c r="I3" s="3">
        <v>0</v>
      </c>
      <c r="J3" s="3">
        <v>1</v>
      </c>
    </row>
    <row r="4" spans="2:10">
      <c r="B4" s="4">
        <v>2</v>
      </c>
      <c r="C4" s="3">
        <v>1</v>
      </c>
      <c r="D4" s="3">
        <v>1</v>
      </c>
      <c r="E4" s="3">
        <v>1</v>
      </c>
      <c r="F4" s="3">
        <v>0</v>
      </c>
      <c r="G4" s="3">
        <v>0</v>
      </c>
      <c r="H4" s="3">
        <v>0</v>
      </c>
      <c r="I4" s="3">
        <v>1</v>
      </c>
      <c r="J4" s="3">
        <v>1</v>
      </c>
    </row>
    <row r="5" spans="2:10">
      <c r="B5" s="4">
        <v>3</v>
      </c>
      <c r="C5" s="3">
        <v>1</v>
      </c>
      <c r="D5" s="3">
        <v>1</v>
      </c>
      <c r="E5" s="3">
        <v>1</v>
      </c>
      <c r="F5" s="3">
        <v>0</v>
      </c>
      <c r="G5" s="3">
        <v>0</v>
      </c>
      <c r="H5" s="3">
        <v>0</v>
      </c>
      <c r="I5" s="3">
        <v>2</v>
      </c>
      <c r="J5" s="3">
        <v>1</v>
      </c>
    </row>
    <row r="6" spans="2:10">
      <c r="B6" s="4">
        <v>4</v>
      </c>
      <c r="C6" s="3">
        <v>1</v>
      </c>
      <c r="D6" s="3">
        <v>1</v>
      </c>
      <c r="E6" s="3">
        <v>1</v>
      </c>
      <c r="F6" s="3">
        <v>0</v>
      </c>
      <c r="G6" s="3">
        <v>0</v>
      </c>
      <c r="H6" s="3">
        <v>0</v>
      </c>
      <c r="I6" s="3">
        <v>2</v>
      </c>
      <c r="J6" s="3">
        <v>1</v>
      </c>
    </row>
    <row r="7" spans="2:10">
      <c r="B7" s="4">
        <v>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</row>
    <row r="8" spans="2:10">
      <c r="B8" s="4">
        <v>6</v>
      </c>
      <c r="C8" s="3">
        <v>1</v>
      </c>
      <c r="D8" s="3">
        <v>1</v>
      </c>
      <c r="E8" s="3">
        <v>1</v>
      </c>
      <c r="F8" s="3">
        <v>0</v>
      </c>
      <c r="G8" s="3">
        <v>0</v>
      </c>
      <c r="H8" s="3">
        <v>0</v>
      </c>
      <c r="I8" s="3">
        <v>1</v>
      </c>
      <c r="J8" s="3">
        <v>1</v>
      </c>
    </row>
    <row r="9" spans="2:10">
      <c r="B9" s="4">
        <v>7</v>
      </c>
      <c r="C9" s="3">
        <v>1</v>
      </c>
      <c r="D9" s="3">
        <v>1</v>
      </c>
      <c r="E9" s="3">
        <v>1</v>
      </c>
      <c r="F9" s="3">
        <v>0</v>
      </c>
      <c r="G9" s="3">
        <v>0</v>
      </c>
      <c r="H9" s="3">
        <v>0</v>
      </c>
      <c r="I9" s="3">
        <v>1</v>
      </c>
      <c r="J9" s="3">
        <v>1</v>
      </c>
    </row>
    <row r="10" spans="2:10">
      <c r="B10" s="4">
        <v>8</v>
      </c>
      <c r="C10" s="3">
        <v>1</v>
      </c>
      <c r="D10" s="3">
        <v>1</v>
      </c>
      <c r="E10" s="3">
        <v>1</v>
      </c>
      <c r="F10" s="3">
        <v>0</v>
      </c>
      <c r="G10" s="3">
        <v>0</v>
      </c>
      <c r="H10" s="3">
        <v>0</v>
      </c>
      <c r="I10" s="3">
        <v>1</v>
      </c>
      <c r="J10" s="3">
        <v>1</v>
      </c>
    </row>
    <row r="11" spans="2:10">
      <c r="B11" s="4">
        <v>9</v>
      </c>
      <c r="C11" s="3">
        <v>1</v>
      </c>
      <c r="D11" s="3">
        <v>1</v>
      </c>
      <c r="E11" s="3">
        <v>1</v>
      </c>
      <c r="F11" s="3">
        <v>0</v>
      </c>
      <c r="G11" s="3">
        <v>0</v>
      </c>
      <c r="H11" s="3">
        <v>0</v>
      </c>
      <c r="I11" s="3">
        <v>1</v>
      </c>
      <c r="J11" s="3">
        <v>1</v>
      </c>
    </row>
    <row r="12" spans="2:10">
      <c r="B12" s="4">
        <v>10</v>
      </c>
      <c r="C12" s="3">
        <v>1</v>
      </c>
      <c r="D12" s="3">
        <v>1</v>
      </c>
      <c r="E12" s="3">
        <v>1</v>
      </c>
      <c r="F12" s="3">
        <v>0</v>
      </c>
      <c r="G12" s="3">
        <v>0</v>
      </c>
      <c r="H12" s="3">
        <v>0</v>
      </c>
      <c r="I12" s="3">
        <v>1</v>
      </c>
      <c r="J12" s="3">
        <v>1</v>
      </c>
    </row>
    <row r="13" spans="2:10">
      <c r="B13" s="4">
        <v>11</v>
      </c>
      <c r="C13" s="3">
        <v>1</v>
      </c>
      <c r="D13" s="3">
        <v>1</v>
      </c>
      <c r="E13" s="3">
        <v>1</v>
      </c>
      <c r="F13" s="3">
        <v>0</v>
      </c>
      <c r="G13" s="3">
        <v>0</v>
      </c>
      <c r="H13" s="3">
        <v>0</v>
      </c>
      <c r="I13" s="3">
        <v>1</v>
      </c>
      <c r="J13" s="3">
        <v>1</v>
      </c>
    </row>
    <row r="14" spans="2:10">
      <c r="B14" s="4">
        <v>12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1</v>
      </c>
    </row>
    <row r="15" spans="2:10">
      <c r="B15" s="4">
        <v>13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</row>
    <row r="16" spans="2:10">
      <c r="B16" s="4">
        <v>14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</v>
      </c>
    </row>
    <row r="17" spans="2:10">
      <c r="B17" s="4">
        <v>15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</v>
      </c>
    </row>
    <row r="18" spans="2:10">
      <c r="B18" s="4">
        <v>16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</v>
      </c>
    </row>
    <row r="19" spans="2:10">
      <c r="B19" s="4">
        <v>17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</v>
      </c>
    </row>
    <row r="20" spans="2:10">
      <c r="B20" s="4">
        <v>18</v>
      </c>
      <c r="C20" s="3">
        <v>1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</v>
      </c>
    </row>
    <row r="21" spans="2:10">
      <c r="B21" s="4">
        <v>19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</v>
      </c>
    </row>
    <row r="22" spans="2:10">
      <c r="B22" s="4">
        <v>20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A031-58A4-4A3C-9BE9-E02262AB6FDA}">
  <dimension ref="B2:C25"/>
  <sheetViews>
    <sheetView workbookViewId="0">
      <selection activeCell="B2" sqref="B2:C25"/>
    </sheetView>
  </sheetViews>
  <sheetFormatPr defaultRowHeight="15"/>
  <cols>
    <col min="2" max="2" width="10.5703125" style="1" customWidth="1"/>
    <col min="3" max="3" width="13.28515625" customWidth="1"/>
  </cols>
  <sheetData>
    <row r="2" spans="2:3">
      <c r="B2" s="6" t="s">
        <v>0</v>
      </c>
      <c r="C2" s="2" t="s">
        <v>53</v>
      </c>
    </row>
    <row r="3" spans="2:3">
      <c r="B3" s="4">
        <v>1</v>
      </c>
      <c r="C3" s="3" t="s">
        <v>54</v>
      </c>
    </row>
    <row r="4" spans="2:3">
      <c r="B4" s="4">
        <v>2</v>
      </c>
      <c r="C4" s="3" t="s">
        <v>54</v>
      </c>
    </row>
    <row r="5" spans="2:3">
      <c r="B5" s="4">
        <v>3</v>
      </c>
      <c r="C5" s="3" t="s">
        <v>55</v>
      </c>
    </row>
    <row r="6" spans="2:3">
      <c r="B6" s="4">
        <v>4</v>
      </c>
      <c r="C6" s="3" t="s">
        <v>55</v>
      </c>
    </row>
    <row r="7" spans="2:3">
      <c r="B7" s="4">
        <v>5</v>
      </c>
      <c r="C7" s="3" t="s">
        <v>54</v>
      </c>
    </row>
    <row r="8" spans="2:3">
      <c r="B8" s="4">
        <v>6</v>
      </c>
      <c r="C8" s="3" t="s">
        <v>56</v>
      </c>
    </row>
    <row r="9" spans="2:3">
      <c r="B9" s="4">
        <v>6</v>
      </c>
      <c r="C9" s="3" t="s">
        <v>54</v>
      </c>
    </row>
    <row r="10" spans="2:3">
      <c r="B10" s="4">
        <v>7</v>
      </c>
      <c r="C10" s="3" t="s">
        <v>57</v>
      </c>
    </row>
    <row r="11" spans="2:3">
      <c r="B11" s="4">
        <v>8</v>
      </c>
      <c r="C11" s="3" t="s">
        <v>54</v>
      </c>
    </row>
    <row r="12" spans="2:3">
      <c r="B12" s="4">
        <v>9</v>
      </c>
      <c r="C12" s="3" t="s">
        <v>56</v>
      </c>
    </row>
    <row r="13" spans="2:3">
      <c r="B13" s="4">
        <v>10</v>
      </c>
      <c r="C13" s="3" t="s">
        <v>58</v>
      </c>
    </row>
    <row r="14" spans="2:3">
      <c r="B14" s="4">
        <v>11</v>
      </c>
      <c r="C14" s="3" t="s">
        <v>54</v>
      </c>
    </row>
    <row r="15" spans="2:3">
      <c r="B15" s="4">
        <v>12</v>
      </c>
      <c r="C15" s="3" t="s">
        <v>54</v>
      </c>
    </row>
    <row r="16" spans="2:3">
      <c r="B16" s="4">
        <v>13</v>
      </c>
      <c r="C16" s="3" t="s">
        <v>54</v>
      </c>
    </row>
    <row r="17" spans="2:3">
      <c r="B17" s="4">
        <v>14</v>
      </c>
      <c r="C17" s="3" t="s">
        <v>59</v>
      </c>
    </row>
    <row r="18" spans="2:3">
      <c r="B18" s="4">
        <v>14</v>
      </c>
      <c r="C18" s="3" t="s">
        <v>57</v>
      </c>
    </row>
    <row r="19" spans="2:3">
      <c r="B19" s="4">
        <v>15</v>
      </c>
      <c r="C19" s="3" t="s">
        <v>54</v>
      </c>
    </row>
    <row r="20" spans="2:3">
      <c r="B20" s="4">
        <v>16</v>
      </c>
      <c r="C20" s="3" t="s">
        <v>54</v>
      </c>
    </row>
    <row r="21" spans="2:3">
      <c r="B21" s="4">
        <v>17</v>
      </c>
      <c r="C21" s="3" t="s">
        <v>58</v>
      </c>
    </row>
    <row r="22" spans="2:3">
      <c r="B22" s="4">
        <v>18</v>
      </c>
      <c r="C22" s="3" t="s">
        <v>54</v>
      </c>
    </row>
    <row r="23" spans="2:3">
      <c r="B23" s="4">
        <v>19</v>
      </c>
      <c r="C23" s="3" t="s">
        <v>54</v>
      </c>
    </row>
    <row r="24" spans="2:3">
      <c r="B24" s="4">
        <v>20</v>
      </c>
      <c r="C24" s="3" t="s">
        <v>56</v>
      </c>
    </row>
    <row r="25" spans="2:3">
      <c r="B25" s="4">
        <v>20</v>
      </c>
      <c r="C25" s="3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3B78-4F53-45C0-B9F7-5BCC4900EB32}">
  <dimension ref="B2:C29"/>
  <sheetViews>
    <sheetView workbookViewId="0">
      <selection activeCell="B2" sqref="B2:C29"/>
    </sheetView>
  </sheetViews>
  <sheetFormatPr defaultRowHeight="15"/>
  <cols>
    <col min="2" max="2" width="9.140625" style="1"/>
    <col min="3" max="3" width="14" customWidth="1"/>
  </cols>
  <sheetData>
    <row r="2" spans="2:3">
      <c r="B2" s="6" t="s">
        <v>0</v>
      </c>
      <c r="C2" s="2" t="s">
        <v>60</v>
      </c>
    </row>
    <row r="3" spans="2:3">
      <c r="B3" s="4">
        <v>1</v>
      </c>
      <c r="C3" s="3" t="s">
        <v>14</v>
      </c>
    </row>
    <row r="4" spans="2:3">
      <c r="B4" s="4">
        <v>1</v>
      </c>
      <c r="C4" s="3" t="s">
        <v>61</v>
      </c>
    </row>
    <row r="5" spans="2:3">
      <c r="B5" s="4">
        <v>2</v>
      </c>
      <c r="C5" s="3" t="s">
        <v>14</v>
      </c>
    </row>
    <row r="6" spans="2:3">
      <c r="B6" s="4">
        <v>2</v>
      </c>
      <c r="C6" s="3" t="s">
        <v>62</v>
      </c>
    </row>
    <row r="7" spans="2:3">
      <c r="B7" s="4">
        <v>5</v>
      </c>
      <c r="C7" s="3" t="s">
        <v>14</v>
      </c>
    </row>
    <row r="8" spans="2:3">
      <c r="B8" s="4">
        <v>6</v>
      </c>
      <c r="C8" s="3" t="s">
        <v>63</v>
      </c>
    </row>
    <row r="9" spans="2:3">
      <c r="B9" s="4">
        <v>8</v>
      </c>
      <c r="C9" s="3" t="s">
        <v>64</v>
      </c>
    </row>
    <row r="10" spans="2:3">
      <c r="B10" s="4">
        <v>8</v>
      </c>
      <c r="C10" s="3" t="s">
        <v>65</v>
      </c>
    </row>
    <row r="11" spans="2:3">
      <c r="B11" s="4">
        <v>9</v>
      </c>
      <c r="C11" s="3" t="s">
        <v>66</v>
      </c>
    </row>
    <row r="12" spans="2:3">
      <c r="B12" s="4">
        <v>11</v>
      </c>
      <c r="C12" s="3" t="s">
        <v>67</v>
      </c>
    </row>
    <row r="13" spans="2:3">
      <c r="B13" s="4">
        <v>11</v>
      </c>
      <c r="C13" s="3" t="s">
        <v>68</v>
      </c>
    </row>
    <row r="14" spans="2:3">
      <c r="B14" s="4">
        <v>12</v>
      </c>
      <c r="C14" s="3" t="s">
        <v>69</v>
      </c>
    </row>
    <row r="15" spans="2:3">
      <c r="B15" s="4">
        <v>12</v>
      </c>
      <c r="C15" s="3" t="s">
        <v>70</v>
      </c>
    </row>
    <row r="16" spans="2:3">
      <c r="B16" s="4">
        <v>13</v>
      </c>
      <c r="C16" s="3" t="s">
        <v>69</v>
      </c>
    </row>
    <row r="17" spans="2:3">
      <c r="B17" s="4">
        <v>13</v>
      </c>
      <c r="C17" s="3" t="s">
        <v>71</v>
      </c>
    </row>
    <row r="18" spans="2:3">
      <c r="B18" s="4">
        <v>14</v>
      </c>
      <c r="C18" s="3" t="s">
        <v>72</v>
      </c>
    </row>
    <row r="19" spans="2:3">
      <c r="B19" s="4">
        <v>15</v>
      </c>
      <c r="C19" s="3" t="s">
        <v>73</v>
      </c>
    </row>
    <row r="20" spans="2:3">
      <c r="B20" s="4">
        <v>15</v>
      </c>
      <c r="C20" s="3" t="s">
        <v>74</v>
      </c>
    </row>
    <row r="21" spans="2:3">
      <c r="B21" s="4">
        <v>15</v>
      </c>
      <c r="C21" s="3" t="s">
        <v>75</v>
      </c>
    </row>
    <row r="22" spans="2:3">
      <c r="B22" s="4">
        <v>16</v>
      </c>
      <c r="C22" s="3" t="s">
        <v>73</v>
      </c>
    </row>
    <row r="23" spans="2:3">
      <c r="B23" s="4">
        <v>16</v>
      </c>
      <c r="C23" s="3" t="s">
        <v>65</v>
      </c>
    </row>
    <row r="24" spans="2:3">
      <c r="B24" s="4">
        <v>18</v>
      </c>
      <c r="C24" s="3" t="s">
        <v>14</v>
      </c>
    </row>
    <row r="25" spans="2:3">
      <c r="B25" s="4">
        <v>18</v>
      </c>
      <c r="C25" s="3" t="s">
        <v>76</v>
      </c>
    </row>
    <row r="26" spans="2:3">
      <c r="B26" s="4">
        <v>19</v>
      </c>
      <c r="C26" s="3" t="s">
        <v>77</v>
      </c>
    </row>
    <row r="27" spans="2:3">
      <c r="B27" s="4">
        <v>19</v>
      </c>
      <c r="C27" s="3" t="s">
        <v>78</v>
      </c>
    </row>
    <row r="28" spans="2:3">
      <c r="B28" s="4">
        <v>20</v>
      </c>
      <c r="C28" s="3" t="s">
        <v>63</v>
      </c>
    </row>
    <row r="29" spans="2:3">
      <c r="B29" s="4">
        <v>20</v>
      </c>
      <c r="C29" s="3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1ED94-B410-45FF-8596-B350F16B0C79}">
  <dimension ref="B2:E22"/>
  <sheetViews>
    <sheetView workbookViewId="0">
      <selection activeCell="G19" sqref="G19"/>
    </sheetView>
  </sheetViews>
  <sheetFormatPr defaultRowHeight="15"/>
  <cols>
    <col min="2" max="2" width="9.140625" style="1"/>
    <col min="4" max="4" width="14.85546875" customWidth="1"/>
    <col min="5" max="5" width="20.28515625" customWidth="1"/>
  </cols>
  <sheetData>
    <row r="2" spans="2:5">
      <c r="B2" s="6" t="s">
        <v>7</v>
      </c>
      <c r="C2" s="2" t="s">
        <v>1</v>
      </c>
      <c r="D2" s="2" t="s">
        <v>80</v>
      </c>
      <c r="E2" s="2" t="s">
        <v>81</v>
      </c>
    </row>
    <row r="3" spans="2:5">
      <c r="B3" s="4">
        <v>1</v>
      </c>
      <c r="C3" s="3" t="s">
        <v>82</v>
      </c>
      <c r="D3" s="3" t="s">
        <v>83</v>
      </c>
      <c r="E3" s="3" t="str">
        <f>C3 &amp; " " &amp; D3</f>
        <v>Kai Carpenter</v>
      </c>
    </row>
    <row r="4" spans="2:5">
      <c r="B4" s="4">
        <v>2</v>
      </c>
      <c r="C4" s="3" t="s">
        <v>84</v>
      </c>
      <c r="D4" s="3" t="s">
        <v>85</v>
      </c>
      <c r="E4" s="3" t="str">
        <f t="shared" ref="E4:E22" si="0">C4 &amp; " " &amp; D4</f>
        <v>Lars Grant-West</v>
      </c>
    </row>
    <row r="5" spans="2:5">
      <c r="B5" s="4">
        <v>3</v>
      </c>
      <c r="C5" s="3" t="s">
        <v>86</v>
      </c>
      <c r="D5" s="3" t="s">
        <v>87</v>
      </c>
      <c r="E5" s="3" t="str">
        <f t="shared" si="0"/>
        <v>Nadia Hurianova</v>
      </c>
    </row>
    <row r="6" spans="2:5">
      <c r="B6" s="4">
        <v>4</v>
      </c>
      <c r="C6" s="3" t="s">
        <v>88</v>
      </c>
      <c r="D6" s="3" t="s">
        <v>89</v>
      </c>
      <c r="E6" s="3" t="str">
        <f t="shared" si="0"/>
        <v>Liiga Smilshkalne</v>
      </c>
    </row>
    <row r="7" spans="2:5">
      <c r="B7" s="4">
        <v>5</v>
      </c>
      <c r="C7" s="3" t="s">
        <v>90</v>
      </c>
      <c r="D7" s="3" t="s">
        <v>91</v>
      </c>
      <c r="E7" s="3" t="str">
        <f t="shared" si="0"/>
        <v>Brandon Kitkouski</v>
      </c>
    </row>
    <row r="8" spans="2:5">
      <c r="B8" s="4">
        <v>6</v>
      </c>
      <c r="C8" s="3" t="s">
        <v>92</v>
      </c>
      <c r="D8" s="3" t="s">
        <v>93</v>
      </c>
      <c r="E8" s="3" t="str">
        <f t="shared" si="0"/>
        <v>Alexandr Leskinen</v>
      </c>
    </row>
    <row r="9" spans="2:5">
      <c r="B9" s="4">
        <v>7</v>
      </c>
      <c r="C9" s="3" t="s">
        <v>94</v>
      </c>
      <c r="D9" s="3" t="s">
        <v>95</v>
      </c>
      <c r="E9" s="3" t="str">
        <f t="shared" si="0"/>
        <v>Svetlin  Velinov</v>
      </c>
    </row>
    <row r="10" spans="2:5">
      <c r="B10" s="4">
        <v>8</v>
      </c>
      <c r="C10" s="3" t="s">
        <v>96</v>
      </c>
      <c r="D10" s="3" t="s">
        <v>97</v>
      </c>
      <c r="E10" s="3" t="str">
        <f t="shared" si="0"/>
        <v>Igor Grechanyi</v>
      </c>
    </row>
    <row r="11" spans="2:5">
      <c r="B11" s="4">
        <v>9</v>
      </c>
      <c r="C11" s="3" t="s">
        <v>98</v>
      </c>
      <c r="D11" s="3" t="s">
        <v>99</v>
      </c>
      <c r="E11" s="3" t="str">
        <f t="shared" si="0"/>
        <v>Borja Pindado</v>
      </c>
    </row>
    <row r="12" spans="2:5">
      <c r="B12" s="4">
        <v>10</v>
      </c>
      <c r="C12" s="3" t="s">
        <v>100</v>
      </c>
      <c r="D12" s="3" t="s">
        <v>101</v>
      </c>
      <c r="E12" s="3" t="str">
        <f t="shared" si="0"/>
        <v>Omar Rayyan</v>
      </c>
    </row>
    <row r="13" spans="2:5">
      <c r="B13" s="4">
        <v>11</v>
      </c>
      <c r="C13" s="3" t="s">
        <v>102</v>
      </c>
      <c r="D13" s="3" t="s">
        <v>103</v>
      </c>
      <c r="E13" s="3" t="str">
        <f t="shared" si="0"/>
        <v>Oivier Bernard</v>
      </c>
    </row>
    <row r="14" spans="2:5">
      <c r="B14" s="4">
        <v>12</v>
      </c>
      <c r="C14" s="3" t="s">
        <v>104</v>
      </c>
      <c r="D14" s="3" t="s">
        <v>105</v>
      </c>
      <c r="E14" s="3" t="str">
        <f t="shared" si="0"/>
        <v>Edgar Sanchez Hidalgo</v>
      </c>
    </row>
    <row r="15" spans="2:5">
      <c r="B15" s="4">
        <v>13</v>
      </c>
      <c r="C15" s="3" t="s">
        <v>106</v>
      </c>
      <c r="D15" s="3" t="s">
        <v>107</v>
      </c>
      <c r="E15" s="3" t="str">
        <f t="shared" si="0"/>
        <v>Paolo Parente</v>
      </c>
    </row>
    <row r="16" spans="2:5">
      <c r="B16" s="4">
        <v>14</v>
      </c>
      <c r="C16" s="3" t="s">
        <v>108</v>
      </c>
      <c r="D16" s="3" t="s">
        <v>109</v>
      </c>
      <c r="E16" s="3" t="str">
        <f t="shared" si="0"/>
        <v>Aldo Dominguez</v>
      </c>
    </row>
    <row r="17" spans="2:5">
      <c r="B17" s="4">
        <v>15</v>
      </c>
      <c r="C17" s="3" t="s">
        <v>110</v>
      </c>
      <c r="D17" s="3" t="s">
        <v>111</v>
      </c>
      <c r="E17" s="3" t="str">
        <f t="shared" si="0"/>
        <v>Steve Prescott</v>
      </c>
    </row>
    <row r="18" spans="2:5">
      <c r="B18" s="4">
        <v>16</v>
      </c>
      <c r="C18" s="3" t="s">
        <v>112</v>
      </c>
      <c r="D18" s="3" t="s">
        <v>113</v>
      </c>
      <c r="E18" s="3" t="str">
        <f t="shared" si="0"/>
        <v>Evyn Fong</v>
      </c>
    </row>
    <row r="19" spans="2:5">
      <c r="B19" s="4">
        <v>17</v>
      </c>
      <c r="C19" s="3" t="s">
        <v>114</v>
      </c>
      <c r="D19" s="3" t="s">
        <v>115</v>
      </c>
      <c r="E19" s="3" t="str">
        <f t="shared" si="0"/>
        <v>Justin Gerard</v>
      </c>
    </row>
    <row r="20" spans="2:5">
      <c r="B20" s="4">
        <v>18</v>
      </c>
      <c r="C20" s="3" t="s">
        <v>116</v>
      </c>
      <c r="D20" s="3"/>
      <c r="E20" s="3" t="str">
        <f t="shared" si="0"/>
        <v xml:space="preserve">Daarken </v>
      </c>
    </row>
    <row r="21" spans="2:5">
      <c r="B21" s="4">
        <v>19</v>
      </c>
      <c r="C21" s="3" t="s">
        <v>117</v>
      </c>
      <c r="D21" s="3" t="s">
        <v>118</v>
      </c>
      <c r="E21" s="3" t="str">
        <f t="shared" si="0"/>
        <v>Justyna Dura</v>
      </c>
    </row>
    <row r="22" spans="2:5">
      <c r="B22" s="4">
        <v>20</v>
      </c>
      <c r="C22" s="3" t="s">
        <v>119</v>
      </c>
      <c r="D22" s="3" t="s">
        <v>120</v>
      </c>
      <c r="E22" s="3" t="str">
        <f t="shared" si="0"/>
        <v>Maxime  Minard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A41F-A366-4F6C-AF75-3797FC20F2FE}">
  <dimension ref="B2:D8"/>
  <sheetViews>
    <sheetView workbookViewId="0">
      <selection activeCell="E16" sqref="E16"/>
    </sheetView>
  </sheetViews>
  <sheetFormatPr defaultColWidth="14.5703125" defaultRowHeight="15"/>
  <cols>
    <col min="2" max="2" width="27.28515625" customWidth="1"/>
    <col min="3" max="3" width="6.140625" customWidth="1"/>
    <col min="4" max="4" width="8" customWidth="1"/>
  </cols>
  <sheetData>
    <row r="2" spans="2:4">
      <c r="B2" s="2" t="s">
        <v>1</v>
      </c>
      <c r="C2" s="2" t="s">
        <v>6</v>
      </c>
      <c r="D2" s="2" t="s">
        <v>121</v>
      </c>
    </row>
    <row r="3" spans="2:4">
      <c r="B3" s="3" t="s">
        <v>122</v>
      </c>
      <c r="C3" s="3" t="s">
        <v>23</v>
      </c>
      <c r="D3" s="3">
        <v>2026</v>
      </c>
    </row>
    <row r="4" spans="2:4">
      <c r="B4" s="3" t="s">
        <v>123</v>
      </c>
      <c r="C4" s="3" t="s">
        <v>9</v>
      </c>
      <c r="D4" s="3">
        <v>2026</v>
      </c>
    </row>
    <row r="5" spans="2:4">
      <c r="B5" s="3" t="s">
        <v>124</v>
      </c>
      <c r="C5" s="3" t="s">
        <v>31</v>
      </c>
      <c r="D5" s="3">
        <v>2025</v>
      </c>
    </row>
    <row r="6" spans="2:4">
      <c r="B6" s="9" t="s">
        <v>125</v>
      </c>
      <c r="C6" s="9" t="s">
        <v>12</v>
      </c>
      <c r="D6" s="9">
        <v>2025</v>
      </c>
    </row>
    <row r="7" spans="2:4">
      <c r="B7" s="9" t="s">
        <v>126</v>
      </c>
      <c r="C7" s="9" t="s">
        <v>13</v>
      </c>
      <c r="D7" s="9">
        <v>2025</v>
      </c>
    </row>
    <row r="8" spans="2:4">
      <c r="B8" s="3" t="s">
        <v>127</v>
      </c>
      <c r="C8" s="3" t="s">
        <v>17</v>
      </c>
      <c r="D8" s="3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F9DA-F018-4236-8180-DDC37864FE7B}">
  <dimension ref="A1"/>
  <sheetViews>
    <sheetView workbookViewId="0">
      <selection activeCell="A3" sqref="A3"/>
    </sheetView>
  </sheetViews>
  <sheetFormatPr defaultColWidth="9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2026-02-16T14:42:02Z</dcterms:created>
  <dcterms:modified xsi:type="dcterms:W3CDTF">2026-02-16T17:04:49Z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2026-02-16T14:42:19Z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e8b3b964-5107-4194-a9d1-5718d62c7c80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10, 3, 0, 2</vt:lpwstr>
  </property>
</Properties>
</file>